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<sst xmlns="http://schemas.openxmlformats.org/spreadsheetml/2006/main" count="16" uniqueCount="16">
  <si>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x</t>
  </si>
  <si>
    <t>y</t>
  </si>
  <si>
    <t>xi-x_bar</t>
  </si>
  <si>
    <t>yi-y_bar</t>
  </si>
  <si>
    <t>(xi-x_bar) * (yi-y_bar)</t>
  </si>
  <si>
    <t>(xi-x_bar)**2</t>
  </si>
  <si>
    <t>x_bar</t>
  </si>
  <si>
    <t>y_bar</t>
  </si>
  <si>
    <t>Calculate Slope beta_1</t>
  </si>
  <si>
    <t>sum( (xi-x_bar) * (yi-y_bar)) / summ((xi-x_bar)**2)</t>
  </si>
  <si>
    <t>SLOPE (BETA_1)</t>
  </si>
  <si>
    <t>Calculate Intercept beta_0</t>
  </si>
  <si>
    <t>y_bar - beat_1 * x_bar</t>
  </si>
  <si>
    <t xml:space="preserve">Final Linear Regression Equation / Best Fit Line </t>
  </si>
  <si>
    <t xml:space="preserve">y = beat_0 + beta_1(x) </t>
  </si>
  <si>
    <t>y = 20 + 9x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</si>
</sst>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SheetLayoutView="60" workbookViewId="0">
      <selection activeCell="C20" sqref="C20"/>
    </sheetView>
  </sheetViews>
  <sheetFormatPr defaultColWidth="8.88888888888889" defaultRowHeight="14.4" outlineLevelCol="5"/>
  <cols>
    <col min="3" max="3" width="14.0648148148148" customWidth="1"/>
    <col min="5" max="5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30</v>
      </c>
      <c r="C2">
        <f t="shared" ref="C2:C6" si="0">A2-3</f>
        <v>-2</v>
      </c>
      <c r="D2">
        <f t="shared" ref="D2:D6" si="1">B2-47</f>
        <v>-17</v>
      </c>
      <c r="E2">
        <f t="shared" ref="E2:E6" si="2">C2*D2</f>
        <v>34</v>
      </c>
      <c r="F2">
        <f t="shared" ref="F2:F6" si="3">C2*C2</f>
        <v>4</v>
      </c>
    </row>
    <row r="3" spans="1:6">
      <c r="A3">
        <v>2</v>
      </c>
      <c r="B3">
        <v>35</v>
      </c>
      <c r="C3">
        <f t="shared" si="0"/>
        <v>-1</v>
      </c>
      <c r="D3">
        <f t="shared" si="1"/>
        <v>-12</v>
      </c>
      <c r="E3">
        <f t="shared" si="2"/>
        <v>12</v>
      </c>
      <c r="F3">
        <f t="shared" si="3"/>
        <v>1</v>
      </c>
    </row>
    <row r="4" spans="1:6">
      <c r="A4">
        <v>3</v>
      </c>
      <c r="B4">
        <v>50</v>
      </c>
      <c r="C4">
        <f t="shared" si="0"/>
        <v>0</v>
      </c>
      <c r="D4">
        <f t="shared" si="1"/>
        <v>3</v>
      </c>
      <c r="E4">
        <f t="shared" si="2"/>
        <v>0</v>
      </c>
      <c r="F4">
        <f t="shared" si="3"/>
        <v>0</v>
      </c>
    </row>
    <row r="5" spans="1:6">
      <c r="A5">
        <v>4</v>
      </c>
      <c r="B5">
        <v>55</v>
      </c>
      <c r="C5">
        <f t="shared" si="0"/>
        <v>1</v>
      </c>
      <c r="D5">
        <f t="shared" si="1"/>
        <v>8</v>
      </c>
      <c r="E5">
        <f t="shared" si="2"/>
        <v>8</v>
      </c>
      <c r="F5">
        <f t="shared" si="3"/>
        <v>1</v>
      </c>
    </row>
    <row r="6" spans="1:6">
      <c r="A6">
        <v>5</v>
      </c>
      <c r="B6">
        <v>65</v>
      </c>
      <c r="C6">
        <f t="shared" si="0"/>
        <v>2</v>
      </c>
      <c r="D6">
        <f t="shared" si="1"/>
        <v>18</v>
      </c>
      <c r="E6">
        <f t="shared" si="2"/>
        <v>36</v>
      </c>
      <c r="F6">
        <f t="shared" si="3"/>
        <v>4</v>
      </c>
    </row>
    <row r="7" customFormat="1" spans="1:6">
      <c r="A7">
        <v>6</v>
      </c>
      <c r="B7">
        <f>D15+D13*A7</f>
        <v>74</v>
      </c>
    </row>
    <row r="8" customFormat="1" spans="1:6">
      <c r="A8">
        <v>7</v>
      </c>
      <c r="B8">
        <f>D15+D13*A8</f>
        <v>83</v>
      </c>
    </row>
    <row r="9" customFormat="1" spans="1:6">
      <c r="A9" t="s">
        <v>6</v>
      </c>
      <c r="B9" t="s">
        <v>7</v>
      </c>
      <c r="E9">
        <f>SUM(E2:E6)</f>
        <v>90</v>
      </c>
      <c r="F9">
        <f>SUM(F2:F6)</f>
        <v>10</v>
      </c>
    </row>
    <row r="10" customFormat="1" spans="1:6">
      <c r="A10">
        <v>3</v>
      </c>
      <c r="B10">
        <f>AVERAGE(B2:B6)</f>
        <v>47</v>
      </c>
    </row>
    <row r="11" customFormat="1"/>
    <row r="12" customFormat="1" spans="1:6">
      <c r="A12" t="s">
        <v>8</v>
      </c>
      <c r="D12" t="s">
        <v>9</v>
      </c>
    </row>
    <row r="13" customFormat="1" spans="1:6">
      <c r="C13" t="s">
        <v>10</v>
      </c>
      <c r="D13">
        <f>E9/F9</f>
        <v>9</v>
      </c>
    </row>
    <row r="14" customFormat="1" spans="1:6">
      <c r="A14" t="s">
        <v>11</v>
      </c>
      <c r="D14" t="s">
        <v>12</v>
      </c>
    </row>
    <row r="15" customFormat="1" spans="1:6">
      <c r="D15">
        <f>B10-(D13*A10)</f>
        <v>20</v>
      </c>
    </row>
    <row r="16" customFormat="1" spans="1:6">
      <c r="A16" t="s">
        <v>13</v>
      </c>
      <c r="E16" t="s">
        <v>14</v>
      </c>
    </row>
    <row r="17" customFormat="1" spans="5:5">
      <c r="E1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cenar</cp:lastModifiedBy>
  <dcterms:created xsi:type="dcterms:W3CDTF">2026-04-09T03:14:46Z</dcterms:created>
  <dcterms:modified xsi:type="dcterms:W3CDTF">2026-04-09T03:25:19Z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4825021543E946CCA4063A6F4A09AB3C_13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